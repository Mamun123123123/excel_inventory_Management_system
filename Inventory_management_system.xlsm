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OBAL TECHNOLOGY\Documents\"/>
    </mc:Choice>
  </mc:AlternateContent>
  <xr:revisionPtr revIDLastSave="0" documentId="13_ncr:1_{D1F0BD6E-6F1F-4C99-A8F9-1FC92F54D6F1}" xr6:coauthVersionLast="47" xr6:coauthVersionMax="47" xr10:uidLastSave="{00000000-0000-0000-0000-000000000000}"/>
  <bookViews>
    <workbookView xWindow="-110" yWindow="-110" windowWidth="19420" windowHeight="10300" activeTab="3" xr2:uid="{C5085E80-AB83-437C-90CE-EDDFFA0595E5}"/>
  </bookViews>
  <sheets>
    <sheet name="Home" sheetId="1" r:id="rId1"/>
    <sheet name="Purchase" sheetId="2" r:id="rId2"/>
    <sheet name="Salse" sheetId="3" r:id="rId3"/>
    <sheet name="Stock" sheetId="4" r:id="rId4"/>
  </sheets>
  <definedNames>
    <definedName name="_xlnm._FilterDatabase" localSheetId="1" hidden="1">Purchase!$H$4:$H$9</definedName>
    <definedName name="_xlnm.Criteria" localSheetId="3">Stock!$L$6:$L$7</definedName>
    <definedName name="_xlnm.Extract" localSheetId="3">Stock!$F$4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I11" i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L7" i="4"/>
  <c r="I18" i="4" l="1"/>
  <c r="I10" i="4"/>
  <c r="I17" i="4"/>
  <c r="I9" i="4"/>
  <c r="I16" i="4"/>
  <c r="I8" i="4"/>
  <c r="I15" i="4"/>
  <c r="I7" i="4"/>
  <c r="I14" i="4"/>
  <c r="I6" i="4"/>
  <c r="I13" i="4"/>
  <c r="I5" i="4"/>
  <c r="I12" i="4"/>
  <c r="I11" i="4"/>
</calcChain>
</file>

<file path=xl/sharedStrings.xml><?xml version="1.0" encoding="utf-8"?>
<sst xmlns="http://schemas.openxmlformats.org/spreadsheetml/2006/main" count="35" uniqueCount="19">
  <si>
    <t>Rate</t>
  </si>
  <si>
    <t>Quantity</t>
  </si>
  <si>
    <t>Item name</t>
  </si>
  <si>
    <t>Date</t>
  </si>
  <si>
    <t>Entry Type</t>
  </si>
  <si>
    <t>Last Entry</t>
  </si>
  <si>
    <t>ID</t>
  </si>
  <si>
    <t>monitor</t>
  </si>
  <si>
    <t>Item Name</t>
  </si>
  <si>
    <t xml:space="preserve">ID </t>
  </si>
  <si>
    <t>Purchase Entry</t>
  </si>
  <si>
    <t>Salse Entry</t>
  </si>
  <si>
    <t>Salse Quantity</t>
  </si>
  <si>
    <t>Purchase Quantity</t>
  </si>
  <si>
    <t>Stock</t>
  </si>
  <si>
    <t>Laptop</t>
  </si>
  <si>
    <t>ram</t>
  </si>
  <si>
    <t>Inventory Management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</si>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</sst>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/>
    <xf numFmtId="0" fontId="1" fillId="0" borderId="1" xfId="0" applyFont="1" applyBorder="1"/>
    <xf numFmtId="1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/>
    <xf numFmtId="0" fontId="2" fillId="0" borderId="1" xfId="0" applyFont="1" applyBorder="1"/>
    <xf numFmtId="0" fontId="0" fillId="3" borderId="0" xfId="0" applyFill="1" applyAlignment="1">
      <alignment horizontal="center"/>
    </xf>
    <xf numFmtId="0" fontId="1" fillId="0" borderId="4" xfId="0" applyFont="1" applyBorder="1"/>
    <xf numFmtId="3" fontId="1" fillId="0" borderId="1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0" borderId="1" xfId="0" applyBorder="1"/>
    <xf numFmtId="0" fontId="2" fillId="4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Border="1"/>
  </cellXfs>
  <cellStyles count="1">
    <cellStyle name="Normal" xfId="0" builtinId="0"/>
  </cellStyles>
  <dxfs count="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s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546100</xdr:colOff>
      <xdr:row>19</xdr:row>
      <xdr:rowOff>114300</xdr:rowOff>
    </xdr:from>
    <xdr:to>
      <xdr:col>8</xdr:col>
      <xdr:colOff>57150</xdr:colOff>
      <xdr:row>21</xdr:row>
      <xdr:rowOff>19050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B9B3F1-1B1E-91E3-8A74-ABBCA44EEB40}"/>
            </a:ext>
          </a:extLst>
        </xdr:cNvPr>
        <xdr:cNvSpPr/>
      </xdr:nvSpPr>
      <xdr:spPr>
        <a:xfrm>
          <a:off x="3594100" y="3714750"/>
          <a:ext cx="124460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Purchase Entry</a:t>
          </a:r>
        </a:p>
      </xdr:txBody>
    </xdr:sp>
    <xdr:clientData/>
  </xdr:twoCellAnchor>
  <xdr:twoCellAnchor>
    <xdr:from>
      <xdr:col>8</xdr:col>
      <xdr:colOff>177800</xdr:colOff>
      <xdr:row>19</xdr:row>
      <xdr:rowOff>95250</xdr:rowOff>
    </xdr:from>
    <xdr:to>
      <xdr:col>9</xdr:col>
      <xdr:colOff>247650</xdr:colOff>
      <xdr:row>21</xdr:row>
      <xdr:rowOff>0</xdr:rowOff>
    </xdr:to>
    <xdr:sp macro="[0]!Sal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6871F0-FDD9-4A0D-82F8-84D4B99B0CF9}"/>
            </a:ext>
          </a:extLst>
        </xdr:cNvPr>
        <xdr:cNvSpPr/>
      </xdr:nvSpPr>
      <xdr:spPr>
        <a:xfrm>
          <a:off x="4959350" y="3695700"/>
          <a:ext cx="125095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SALE Entry</a:t>
          </a:r>
        </a:p>
        <a:p>
          <a:pPr algn="l"/>
          <a:r>
            <a:rPr lang="en-US" sz="1100" baseline="0"/>
            <a:t> Entry</a:t>
          </a:r>
        </a:p>
      </xdr:txBody>
    </xdr:sp>
    <xdr:clientData/>
  </xdr:twoCellAnchor>
  <xdr:twoCellAnchor>
    <xdr:from>
      <xdr:col>9</xdr:col>
      <xdr:colOff>1390650</xdr:colOff>
      <xdr:row>5</xdr:row>
      <xdr:rowOff>63500</xdr:rowOff>
    </xdr:from>
    <xdr:to>
      <xdr:col>13</xdr:col>
      <xdr:colOff>133350</xdr:colOff>
      <xdr:row>8</xdr:row>
      <xdr:rowOff>19050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E6151-6107-9D41-6826-83AA3DBD98F2}"/>
            </a:ext>
          </a:extLst>
        </xdr:cNvPr>
        <xdr:cNvSpPr/>
      </xdr:nvSpPr>
      <xdr:spPr>
        <a:xfrm>
          <a:off x="7353300" y="984250"/>
          <a:ext cx="2006600" cy="508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accent3">
                  <a:lumMod val="40000"/>
                  <a:lumOff val="60000"/>
                </a:schemeClr>
              </a:solidFill>
            </a:rPr>
            <a:t>Purchase Page</a:t>
          </a:r>
        </a:p>
      </xdr:txBody>
    </xdr:sp>
    <xdr:clientData/>
  </xdr:twoCellAnchor>
  <xdr:twoCellAnchor>
    <xdr:from>
      <xdr:col>9</xdr:col>
      <xdr:colOff>1384300</xdr:colOff>
      <xdr:row>9</xdr:row>
      <xdr:rowOff>196850</xdr:rowOff>
    </xdr:from>
    <xdr:to>
      <xdr:col>13</xdr:col>
      <xdr:colOff>127000</xdr:colOff>
      <xdr:row>12</xdr:row>
      <xdr:rowOff>50800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805459-A3FE-40B9-B598-E1CD432B5EA2}"/>
            </a:ext>
          </a:extLst>
        </xdr:cNvPr>
        <xdr:cNvSpPr/>
      </xdr:nvSpPr>
      <xdr:spPr>
        <a:xfrm>
          <a:off x="7346950" y="1854200"/>
          <a:ext cx="2006600" cy="5080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accent3">
                  <a:lumMod val="40000"/>
                  <a:lumOff val="60000"/>
                </a:schemeClr>
              </a:solidFill>
            </a:rPr>
            <a:t>salse page</a:t>
          </a:r>
        </a:p>
      </xdr:txBody>
    </xdr:sp>
    <xdr:clientData/>
  </xdr:twoCellAnchor>
  <xdr:twoCellAnchor>
    <xdr:from>
      <xdr:col>9</xdr:col>
      <xdr:colOff>1403350</xdr:colOff>
      <xdr:row>14</xdr:row>
      <xdr:rowOff>171450</xdr:rowOff>
    </xdr:from>
    <xdr:to>
      <xdr:col>13</xdr:col>
      <xdr:colOff>146050</xdr:colOff>
      <xdr:row>17</xdr:row>
      <xdr:rowOff>127000</xdr:rowOff>
    </xdr:to>
    <xdr:sp macro="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049584-08A0-40CE-8C23-41761A31A3BA}"/>
            </a:ext>
          </a:extLst>
        </xdr:cNvPr>
        <xdr:cNvSpPr/>
      </xdr:nvSpPr>
      <xdr:spPr>
        <a:xfrm>
          <a:off x="7366000" y="2851150"/>
          <a:ext cx="2006600" cy="5080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Stock</a:t>
          </a:r>
          <a:r>
            <a:rPr lang="en-US" sz="2400" baseline="0"/>
            <a:t> Page</a:t>
          </a:r>
          <a:endParaRPr 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4</xdr:row>
      <xdr:rowOff>165100</xdr:rowOff>
    </xdr:from>
    <xdr:to>
      <xdr:col>13</xdr:col>
      <xdr:colOff>50800</xdr:colOff>
      <xdr:row>7</xdr:row>
      <xdr:rowOff>31750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328281-8761-4560-A3A3-ED06377D9497}"/>
            </a:ext>
          </a:extLst>
        </xdr:cNvPr>
        <xdr:cNvSpPr/>
      </xdr:nvSpPr>
      <xdr:spPr>
        <a:xfrm>
          <a:off x="7823200" y="901700"/>
          <a:ext cx="15049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aseline="0"/>
            <a:t>Refresh</a:t>
          </a:r>
          <a:endParaRPr lang="en-US" sz="1100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25584D-48A7-494C-B469-420D66799A11}" name="Table3" displayName="Table3" ref="F4:J9" totalsRowShown="0" headerRowDxfId="6" headerRowBorderDxfId="5" tableBorderDxfId="4">
  <tableColumns count="5">
    <tableColumn id="1" xr3:uid="{8587C665-5F28-4458-9EFD-25762F3C1A59}" name="ID "/>
    <tableColumn id="2" xr3:uid="{F7F81600-3752-4F6A-8469-DB5FD7D7F0BE}" name="Date"/>
    <tableColumn id="3" xr3:uid="{8688A777-81F4-4A4D-8F8D-854D5326B9FF}" name="Item Name"/>
    <tableColumn id="4" xr3:uid="{A15B6781-5EF0-42E8-A2F3-477896AFC63F}" name="Quantity"/>
    <tableColumn id="5" xr3:uid="{4A88CAF2-3B44-48C5-B50A-2AB12CA3FFF0}" name="Rat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DA1DC5-E9C9-4006-A292-80E973259037}" name="Table4" displayName="Table4" ref="F4:J9" totalsRowShown="0">
  <autoFilter ref="F4:J9" xr:uid="{9FDA1DC5-E9C9-4006-A292-80E973259037}"/>
  <tableColumns count="5">
    <tableColumn id="1" xr3:uid="{FCE70CDE-D810-4FF9-9DD0-4E62F017A64D}" name="ID"/>
    <tableColumn id="2" xr3:uid="{3BB11341-CAC0-4ED2-AADF-4193EB000D47}" name="Date"/>
    <tableColumn id="3" xr3:uid="{E69B072B-F54A-40B5-8A52-85BCA0E1DF4C}" name="Item Name"/>
    <tableColumn id="4" xr3:uid="{A612341B-E924-444E-B350-1BCEB11CBCAA}" name="Quantity"/>
    <tableColumn id="5" xr3:uid="{841EBC59-DFB4-4DD3-A919-822598E063F3}" name="Rat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59BB80-424E-47E3-8ACE-7705F96CC68F}" name="Table5" displayName="Table5" ref="F4:I18" totalsRowShown="0">
  <tableColumns count="4">
    <tableColumn id="1" xr3:uid="{39B921CA-A441-4AFF-8B9A-A86AF69014EE}" name="Item Name" dataDxfId="3"/>
    <tableColumn id="2" xr3:uid="{ADFF7791-1299-4E17-AE64-92896C7FD89C}" name="Purchase Quantity" dataDxfId="2">
      <calculatedColumnFormula>SUMIF(Table3[[#All],[Item Name]],Table5[[#This Row],[Item Name]],Table3[[#All],[Quantity]])</calculatedColumnFormula>
    </tableColumn>
    <tableColumn id="3" xr3:uid="{5052708C-9D40-45D1-BD10-2641AE8023B5}" name="Salse Quantity" dataDxfId="1">
      <calculatedColumnFormula>SUMIF(Table4[[#All],[Item Name]],Table5[[#This Row],[Item Name]],Table4[[#All],[Quantity]])</calculatedColumnFormula>
    </tableColumn>
    <tableColumn id="4" xr3:uid="{D85F2FD7-2955-403D-A5F9-DC279F58A28C}" name="Stock" dataDxfId="0">
      <calculatedColumnFormula>Table5[[#This Row],[Purchase Quantity]]-Table5[[#This Row],[Salse Quantity]]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03D59-E5B2-47DE-B48B-EA51D27764D1}">
  <dimension ref="G5:J18"/>
  <sheetViews>
    <sheetView topLeftCell="A4" workbookViewId="0">
      <selection activeCell="I10" sqref="I10"/>
    </sheetView>
  </sheetViews>
  <sheetFormatPr defaultRowHeight="14.5" x14ac:dyDescent="0.35"/>
  <cols>
    <col min="7" max="7" width="12.26953125" bestFit="1" customWidth="1"/>
    <col min="8" max="8" width="3.81640625" customWidth="1"/>
    <col min="9" max="9" width="16.90625" customWidth="1"/>
    <col min="10" max="10" width="20.54296875" customWidth="1"/>
  </cols>
  <sheetData>
    <row r="5" spans="7:10" x14ac:dyDescent="0.35">
      <c r="G5" s="15" t="s">
        <v>17</v>
      </c>
      <c r="H5" s="15"/>
      <c r="I5" s="15"/>
    </row>
    <row r="6" spans="7:10" x14ac:dyDescent="0.35">
      <c r="G6" s="15"/>
      <c r="H6" s="15"/>
      <c r="I6" s="15"/>
    </row>
    <row r="7" spans="7:10" x14ac:dyDescent="0.35">
      <c r="G7" s="15"/>
      <c r="H7" s="15"/>
      <c r="I7" s="15"/>
    </row>
    <row r="8" spans="7:10" x14ac:dyDescent="0.35">
      <c r="G8" s="15"/>
      <c r="H8" s="15"/>
      <c r="I8" s="15"/>
    </row>
    <row r="9" spans="7:10" x14ac:dyDescent="0.35">
      <c r="G9" s="16"/>
      <c r="H9" s="16"/>
      <c r="I9" s="16"/>
    </row>
    <row r="10" spans="7:10" ht="18.5" x14ac:dyDescent="0.45">
      <c r="G10" s="9" t="s">
        <v>4</v>
      </c>
      <c r="H10" s="8"/>
      <c r="I10" s="7" t="s">
        <v>18</v>
      </c>
    </row>
    <row r="11" spans="7:10" ht="18.5" x14ac:dyDescent="0.45">
      <c r="G11" s="9" t="s">
        <v>5</v>
      </c>
      <c r="H11" s="8"/>
      <c r="I11" s="7">
        <f>IF(I10="Purchase",MAX(Table3[[ID ]]),MAX(Table4[ID]))</f>
        <v>3</v>
      </c>
    </row>
    <row r="12" spans="7:10" x14ac:dyDescent="0.35">
      <c r="I12" s="5"/>
      <c r="J12" s="6"/>
    </row>
    <row r="13" spans="7:10" x14ac:dyDescent="0.35">
      <c r="I13" s="5"/>
    </row>
    <row r="14" spans="7:10" x14ac:dyDescent="0.35">
      <c r="G14" s="3" t="s">
        <v>6</v>
      </c>
      <c r="H14" s="2"/>
      <c r="I14" s="1"/>
    </row>
    <row r="15" spans="7:10" x14ac:dyDescent="0.35">
      <c r="G15" s="3" t="s">
        <v>3</v>
      </c>
      <c r="H15" s="2"/>
      <c r="I15" s="4"/>
    </row>
    <row r="16" spans="7:10" x14ac:dyDescent="0.35">
      <c r="G16" s="3" t="s">
        <v>2</v>
      </c>
      <c r="H16" s="2"/>
      <c r="I16" s="1"/>
    </row>
    <row r="17" spans="7:10" x14ac:dyDescent="0.35">
      <c r="G17" s="3" t="s">
        <v>1</v>
      </c>
      <c r="H17" s="2"/>
      <c r="I17" s="1"/>
      <c r="J17" t="str">
        <f>IFERROR(IF(I10="Salse",IF(VLOOKUP(I16,Table5[#All],4,0)&lt;I17,"stock not available",""),""),"")</f>
        <v/>
      </c>
    </row>
    <row r="18" spans="7:10" x14ac:dyDescent="0.35">
      <c r="G18" s="3" t="s">
        <v>0</v>
      </c>
      <c r="H18" s="2"/>
      <c r="I18" s="12"/>
    </row>
  </sheetData>
  <mergeCells count="1">
    <mergeCell ref="G5:I9"/>
  </mergeCells>
  <dataValidations count="1">
    <dataValidation type="list" allowBlank="1" showInputMessage="1" showErrorMessage="1" sqref="I10" xr:uid="{CF73BB66-12AC-47F5-B4F7-AF2E97760767}">
      <formula1>"Purchase,Salse"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C84-2BAE-4B53-9E49-469C934CC803}">
  <dimension ref="F1:M281"/>
  <sheetViews>
    <sheetView workbookViewId="0"/>
  </sheetViews>
  <sheetFormatPr defaultRowHeight="14.5" x14ac:dyDescent="0.35"/>
  <cols>
    <col min="6" max="6" width="9.54296875" bestFit="1" customWidth="1"/>
    <col min="7" max="7" width="14" customWidth="1"/>
    <col min="8" max="8" width="12.08984375" customWidth="1"/>
    <col min="9" max="9" width="10.1796875" customWidth="1"/>
    <col min="10" max="10" width="8.7265625" customWidth="1"/>
  </cols>
  <sheetData>
    <row r="1" spans="6:10" x14ac:dyDescent="0.35">
      <c r="F1" s="17" t="s">
        <v>10</v>
      </c>
      <c r="G1" s="18"/>
      <c r="H1" s="18"/>
      <c r="I1" s="18"/>
      <c r="J1" s="18"/>
    </row>
    <row r="2" spans="6:10" x14ac:dyDescent="0.35">
      <c r="F2" s="18"/>
      <c r="G2" s="18"/>
      <c r="H2" s="18"/>
      <c r="I2" s="18"/>
      <c r="J2" s="18"/>
    </row>
    <row r="3" spans="6:10" x14ac:dyDescent="0.35">
      <c r="F3" s="19"/>
      <c r="G3" s="19"/>
      <c r="H3" s="19"/>
      <c r="I3" s="19"/>
      <c r="J3" s="19"/>
    </row>
    <row r="4" spans="6:10" ht="15" thickBot="1" x14ac:dyDescent="0.4">
      <c r="F4" s="11" t="s">
        <v>9</v>
      </c>
      <c r="G4" s="11" t="s">
        <v>3</v>
      </c>
      <c r="H4" s="11" t="s">
        <v>8</v>
      </c>
      <c r="I4" s="11" t="s">
        <v>1</v>
      </c>
      <c r="J4" s="11" t="s">
        <v>0</v>
      </c>
    </row>
    <row r="5" spans="6:10" x14ac:dyDescent="0.35">
      <c r="F5" s="24"/>
      <c r="G5" s="24"/>
      <c r="H5" s="24"/>
      <c r="I5" s="24"/>
      <c r="J5" s="24"/>
    </row>
    <row r="6" spans="6:10" x14ac:dyDescent="0.35">
      <c r="F6" s="1">
        <v>3</v>
      </c>
      <c r="G6" s="4">
        <v>45710</v>
      </c>
      <c r="H6" s="1" t="s">
        <v>16</v>
      </c>
      <c r="I6" s="1">
        <v>100</v>
      </c>
      <c r="J6" s="12">
        <v>100000</v>
      </c>
    </row>
    <row r="7" spans="6:10" x14ac:dyDescent="0.35">
      <c r="F7" s="1">
        <v>2</v>
      </c>
      <c r="G7" s="4">
        <v>45927</v>
      </c>
      <c r="H7" s="1" t="s">
        <v>7</v>
      </c>
      <c r="I7" s="1">
        <v>40</v>
      </c>
      <c r="J7" s="12">
        <v>2345</v>
      </c>
    </row>
    <row r="8" spans="6:10" x14ac:dyDescent="0.35">
      <c r="F8" s="1">
        <v>1</v>
      </c>
      <c r="G8" s="4">
        <v>45896</v>
      </c>
      <c r="H8" s="1" t="s">
        <v>15</v>
      </c>
      <c r="I8" s="1">
        <v>20</v>
      </c>
      <c r="J8" s="12">
        <v>300000</v>
      </c>
    </row>
    <row r="189" spans="11:13" ht="14.5" customHeight="1" x14ac:dyDescent="0.35">
      <c r="K189" s="10"/>
      <c r="L189" s="10"/>
      <c r="M189" s="10"/>
    </row>
    <row r="190" spans="11:13" x14ac:dyDescent="0.35">
      <c r="K190" s="10"/>
      <c r="L190" s="10"/>
      <c r="M190" s="10"/>
    </row>
    <row r="191" spans="11:13" x14ac:dyDescent="0.35">
      <c r="K191" s="10"/>
      <c r="L191" s="10"/>
      <c r="M191" s="10"/>
    </row>
    <row r="192" spans="11:13" x14ac:dyDescent="0.35">
      <c r="K192" s="10"/>
      <c r="L192" s="10"/>
      <c r="M192" s="10"/>
    </row>
    <row r="193" spans="9:10" ht="46" x14ac:dyDescent="1">
      <c r="I193" s="13"/>
      <c r="J193" s="10"/>
    </row>
    <row r="194" spans="9:10" x14ac:dyDescent="0.35">
      <c r="I194" s="10"/>
      <c r="J194" s="10"/>
    </row>
    <row r="195" spans="9:10" x14ac:dyDescent="0.35">
      <c r="I195" s="10"/>
      <c r="J195" s="10"/>
    </row>
    <row r="196" spans="9:10" x14ac:dyDescent="0.35">
      <c r="I196" s="10"/>
      <c r="J196" s="10"/>
    </row>
    <row r="275" spans="9:13" x14ac:dyDescent="0.35">
      <c r="K275" s="1"/>
      <c r="L275" s="1"/>
      <c r="M275" s="1"/>
    </row>
    <row r="276" spans="9:13" x14ac:dyDescent="0.35">
      <c r="K276" s="1"/>
      <c r="L276" s="1"/>
      <c r="M276" s="1"/>
    </row>
    <row r="277" spans="9:13" x14ac:dyDescent="0.35">
      <c r="K277" s="1"/>
      <c r="L277" s="1"/>
      <c r="M277" s="1"/>
    </row>
    <row r="279" spans="9:13" x14ac:dyDescent="0.35">
      <c r="I279" s="1"/>
      <c r="J279" s="4"/>
    </row>
    <row r="280" spans="9:13" x14ac:dyDescent="0.35">
      <c r="I280" s="1"/>
      <c r="J280" s="4"/>
    </row>
    <row r="281" spans="9:13" x14ac:dyDescent="0.35">
      <c r="I281" s="1"/>
      <c r="J281" s="4"/>
    </row>
  </sheetData>
  <mergeCells count="1">
    <mergeCell ref="F1:J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1D1-1594-40DC-B780-2B70B1B68CEB}">
  <dimension ref="F1:J8"/>
  <sheetViews>
    <sheetView workbookViewId="0">
      <selection activeCell="F1" sqref="F1:J3"/>
    </sheetView>
  </sheetViews>
  <sheetFormatPr defaultRowHeight="14.5" x14ac:dyDescent="0.35"/>
  <cols>
    <col min="7" max="7" width="13.54296875" customWidth="1"/>
    <col min="8" max="8" width="12.08984375" customWidth="1"/>
    <col min="9" max="9" width="10.1796875" customWidth="1"/>
  </cols>
  <sheetData>
    <row r="1" spans="6:10" x14ac:dyDescent="0.35">
      <c r="F1" s="20" t="s">
        <v>11</v>
      </c>
      <c r="G1" s="21"/>
      <c r="H1" s="21"/>
      <c r="I1" s="21"/>
      <c r="J1" s="21"/>
    </row>
    <row r="2" spans="6:10" x14ac:dyDescent="0.35">
      <c r="F2" s="21"/>
      <c r="G2" s="21"/>
      <c r="H2" s="21"/>
      <c r="I2" s="21"/>
      <c r="J2" s="21"/>
    </row>
    <row r="3" spans="6:10" x14ac:dyDescent="0.35">
      <c r="F3" s="21"/>
      <c r="G3" s="21"/>
      <c r="H3" s="21"/>
      <c r="I3" s="21"/>
      <c r="J3" s="21"/>
    </row>
    <row r="4" spans="6:10" x14ac:dyDescent="0.35">
      <c r="F4" t="s">
        <v>6</v>
      </c>
      <c r="G4" t="s">
        <v>3</v>
      </c>
      <c r="H4" t="s">
        <v>8</v>
      </c>
      <c r="I4" t="s">
        <v>1</v>
      </c>
      <c r="J4" t="s">
        <v>0</v>
      </c>
    </row>
    <row r="6" spans="6:10" x14ac:dyDescent="0.35">
      <c r="F6" s="1">
        <v>3</v>
      </c>
      <c r="G6" s="4">
        <v>45957</v>
      </c>
      <c r="H6" s="1" t="s">
        <v>7</v>
      </c>
      <c r="I6" s="1">
        <v>5</v>
      </c>
      <c r="J6" s="12">
        <v>23456</v>
      </c>
    </row>
    <row r="7" spans="6:10" x14ac:dyDescent="0.35">
      <c r="F7" s="1">
        <v>2</v>
      </c>
      <c r="G7" s="4">
        <v>45927</v>
      </c>
      <c r="H7" s="1" t="s">
        <v>7</v>
      </c>
      <c r="I7" s="1">
        <v>10</v>
      </c>
      <c r="J7" s="12">
        <v>30000</v>
      </c>
    </row>
    <row r="8" spans="6:10" x14ac:dyDescent="0.35">
      <c r="F8" s="1">
        <v>1</v>
      </c>
      <c r="G8" s="4">
        <v>45896</v>
      </c>
      <c r="H8" s="1" t="s">
        <v>15</v>
      </c>
      <c r="I8" s="1">
        <v>10</v>
      </c>
      <c r="J8" s="12">
        <v>250000</v>
      </c>
    </row>
  </sheetData>
  <mergeCells count="1">
    <mergeCell ref="F1:J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5F5EC-422D-40BE-BE8A-2DFFF9F57A5F}">
  <dimension ref="F1:M18"/>
  <sheetViews>
    <sheetView tabSelected="1" workbookViewId="0">
      <selection activeCell="K11" sqref="K11"/>
    </sheetView>
  </sheetViews>
  <sheetFormatPr defaultRowHeight="14.5" x14ac:dyDescent="0.35"/>
  <cols>
    <col min="6" max="6" width="12.08984375" customWidth="1"/>
    <col min="7" max="7" width="18.26953125" customWidth="1"/>
    <col min="8" max="8" width="14.81640625" customWidth="1"/>
    <col min="12" max="12" width="17.81640625" customWidth="1"/>
    <col min="13" max="13" width="8.7265625" hidden="1" customWidth="1"/>
  </cols>
  <sheetData>
    <row r="1" spans="6:12" x14ac:dyDescent="0.35">
      <c r="F1" s="22" t="s">
        <v>14</v>
      </c>
      <c r="G1" s="23"/>
      <c r="H1" s="23"/>
      <c r="I1" s="23"/>
    </row>
    <row r="2" spans="6:12" x14ac:dyDescent="0.35">
      <c r="F2" s="23"/>
      <c r="G2" s="23"/>
      <c r="H2" s="23"/>
      <c r="I2" s="23"/>
    </row>
    <row r="3" spans="6:12" x14ac:dyDescent="0.35">
      <c r="F3" s="23"/>
      <c r="G3" s="23"/>
      <c r="H3" s="23"/>
      <c r="I3" s="23"/>
    </row>
    <row r="4" spans="6:12" x14ac:dyDescent="0.35">
      <c r="F4" t="s">
        <v>8</v>
      </c>
      <c r="G4" t="s">
        <v>13</v>
      </c>
      <c r="H4" t="s">
        <v>12</v>
      </c>
      <c r="I4" t="s">
        <v>14</v>
      </c>
    </row>
    <row r="5" spans="6:12" x14ac:dyDescent="0.35">
      <c r="F5" s="1" t="s">
        <v>7</v>
      </c>
      <c r="G5" s="14">
        <f>SUMIF(Table3[[#All],[Item Name]],Table5[[#This Row],[Item Name]],Table3[[#All],[Quantity]])</f>
        <v>40</v>
      </c>
      <c r="H5" s="14">
        <f>SUMIF(Table4[[#All],[Item Name]],Table5[[#This Row],[Item Name]],Table4[[#All],[Quantity]])</f>
        <v>15</v>
      </c>
      <c r="I5" s="14">
        <f>Table5[[#This Row],[Purchase Quantity]]-Table5[[#This Row],[Salse Quantity]]</f>
        <v>25</v>
      </c>
    </row>
    <row r="6" spans="6:12" x14ac:dyDescent="0.35">
      <c r="F6" s="1" t="s">
        <v>15</v>
      </c>
      <c r="G6" s="14">
        <f>SUMIF(Table3[[#All],[Item Name]],Table5[[#This Row],[Item Name]],Table3[[#All],[Quantity]])</f>
        <v>20</v>
      </c>
      <c r="H6" s="14">
        <f>SUMIF(Table4[[#All],[Item Name]],Table5[[#This Row],[Item Name]],Table4[[#All],[Quantity]])</f>
        <v>10</v>
      </c>
      <c r="I6" s="14">
        <f>Table5[[#This Row],[Purchase Quantity]]-Table5[[#This Row],[Salse Quantity]]</f>
        <v>10</v>
      </c>
      <c r="L6" t="s">
        <v>8</v>
      </c>
    </row>
    <row r="7" spans="6:12" x14ac:dyDescent="0.35">
      <c r="F7" s="14"/>
      <c r="G7" s="14">
        <f>SUMIF(Table3[[#All],[Item Name]],Table5[[#This Row],[Item Name]],Table3[[#All],[Quantity]])</f>
        <v>0</v>
      </c>
      <c r="H7" s="14">
        <f>SUMIF(Table4[[#All],[Item Name]],Table5[[#This Row],[Item Name]],Table4[[#All],[Quantity]])</f>
        <v>0</v>
      </c>
      <c r="I7" s="14">
        <f>Table5[[#This Row],[Purchase Quantity]]-Table5[[#This Row],[Salse Quantity]]</f>
        <v>0</v>
      </c>
      <c r="L7" t="str">
        <f>"&lt;&gt;"</f>
        <v>&lt;&gt;</v>
      </c>
    </row>
    <row r="8" spans="6:12" x14ac:dyDescent="0.35">
      <c r="F8" s="14"/>
      <c r="G8" s="14">
        <f>SUMIF(Table3[[#All],[Item Name]],Table5[[#This Row],[Item Name]],Table3[[#All],[Quantity]])</f>
        <v>0</v>
      </c>
      <c r="H8" s="14">
        <f>SUMIF(Table4[[#All],[Item Name]],Table5[[#This Row],[Item Name]],Table4[[#All],[Quantity]])</f>
        <v>0</v>
      </c>
      <c r="I8" s="14">
        <f>Table5[[#This Row],[Purchase Quantity]]-Table5[[#This Row],[Salse Quantity]]</f>
        <v>0</v>
      </c>
    </row>
    <row r="9" spans="6:12" x14ac:dyDescent="0.35">
      <c r="F9" s="14"/>
      <c r="G9" s="14">
        <f>SUMIF(Table3[[#All],[Item Name]],Table5[[#This Row],[Item Name]],Table3[[#All],[Quantity]])</f>
        <v>0</v>
      </c>
      <c r="H9" s="14">
        <f>SUMIF(Table4[[#All],[Item Name]],Table5[[#This Row],[Item Name]],Table4[[#All],[Quantity]])</f>
        <v>0</v>
      </c>
      <c r="I9" s="14">
        <f>Table5[[#This Row],[Purchase Quantity]]-Table5[[#This Row],[Salse Quantity]]</f>
        <v>0</v>
      </c>
    </row>
    <row r="10" spans="6:12" x14ac:dyDescent="0.35">
      <c r="F10" s="14"/>
      <c r="G10" s="14">
        <f>SUMIF(Table3[[#All],[Item Name]],Table5[[#This Row],[Item Name]],Table3[[#All],[Quantity]])</f>
        <v>0</v>
      </c>
      <c r="H10" s="14">
        <f>SUMIF(Table4[[#All],[Item Name]],Table5[[#This Row],[Item Name]],Table4[[#All],[Quantity]])</f>
        <v>0</v>
      </c>
      <c r="I10" s="14">
        <f>Table5[[#This Row],[Purchase Quantity]]-Table5[[#This Row],[Salse Quantity]]</f>
        <v>0</v>
      </c>
    </row>
    <row r="11" spans="6:12" x14ac:dyDescent="0.35">
      <c r="F11" s="14"/>
      <c r="G11" s="14">
        <f>SUMIF(Table3[[#All],[Item Name]],Table5[[#This Row],[Item Name]],Table3[[#All],[Quantity]])</f>
        <v>0</v>
      </c>
      <c r="H11" s="14">
        <f>SUMIF(Table4[[#All],[Item Name]],Table5[[#This Row],[Item Name]],Table4[[#All],[Quantity]])</f>
        <v>0</v>
      </c>
      <c r="I11" s="14">
        <f>Table5[[#This Row],[Purchase Quantity]]-Table5[[#This Row],[Salse Quantity]]</f>
        <v>0</v>
      </c>
    </row>
    <row r="12" spans="6:12" x14ac:dyDescent="0.35">
      <c r="F12" s="14"/>
      <c r="G12" s="14">
        <f>SUMIF(Table3[[#All],[Item Name]],Table5[[#This Row],[Item Name]],Table3[[#All],[Quantity]])</f>
        <v>0</v>
      </c>
      <c r="H12" s="14">
        <f>SUMIF(Table4[[#All],[Item Name]],Table5[[#This Row],[Item Name]],Table4[[#All],[Quantity]])</f>
        <v>0</v>
      </c>
      <c r="I12" s="14">
        <f>Table5[[#This Row],[Purchase Quantity]]-Table5[[#This Row],[Salse Quantity]]</f>
        <v>0</v>
      </c>
    </row>
    <row r="13" spans="6:12" x14ac:dyDescent="0.35">
      <c r="F13" s="14"/>
      <c r="G13" s="14">
        <f>SUMIF(Table3[[#All],[Item Name]],Table5[[#This Row],[Item Name]],Table3[[#All],[Quantity]])</f>
        <v>0</v>
      </c>
      <c r="H13" s="14">
        <f>SUMIF(Table4[[#All],[Item Name]],Table5[[#This Row],[Item Name]],Table4[[#All],[Quantity]])</f>
        <v>0</v>
      </c>
      <c r="I13" s="14">
        <f>Table5[[#This Row],[Purchase Quantity]]-Table5[[#This Row],[Salse Quantity]]</f>
        <v>0</v>
      </c>
    </row>
    <row r="14" spans="6:12" x14ac:dyDescent="0.35">
      <c r="F14" s="14"/>
      <c r="G14" s="14">
        <f>SUMIF(Table3[[#All],[Item Name]],Table5[[#This Row],[Item Name]],Table3[[#All],[Quantity]])</f>
        <v>0</v>
      </c>
      <c r="H14" s="14">
        <f>SUMIF(Table4[[#All],[Item Name]],Table5[[#This Row],[Item Name]],Table4[[#All],[Quantity]])</f>
        <v>0</v>
      </c>
      <c r="I14" s="14">
        <f>Table5[[#This Row],[Purchase Quantity]]-Table5[[#This Row],[Salse Quantity]]</f>
        <v>0</v>
      </c>
    </row>
    <row r="15" spans="6:12" x14ac:dyDescent="0.35">
      <c r="F15" s="14"/>
      <c r="G15" s="14">
        <f>SUMIF(Table3[[#All],[Item Name]],Table5[[#This Row],[Item Name]],Table3[[#All],[Quantity]])</f>
        <v>0</v>
      </c>
      <c r="H15" s="14">
        <f>SUMIF(Table4[[#All],[Item Name]],Table5[[#This Row],[Item Name]],Table4[[#All],[Quantity]])</f>
        <v>0</v>
      </c>
      <c r="I15" s="14">
        <f>Table5[[#This Row],[Purchase Quantity]]-Table5[[#This Row],[Salse Quantity]]</f>
        <v>0</v>
      </c>
    </row>
    <row r="16" spans="6:12" x14ac:dyDescent="0.35">
      <c r="F16" s="14"/>
      <c r="G16" s="14">
        <f>SUMIF(Table3[[#All],[Item Name]],Table5[[#This Row],[Item Name]],Table3[[#All],[Quantity]])</f>
        <v>0</v>
      </c>
      <c r="H16" s="14">
        <f>SUMIF(Table4[[#All],[Item Name]],Table5[[#This Row],[Item Name]],Table4[[#All],[Quantity]])</f>
        <v>0</v>
      </c>
      <c r="I16" s="14">
        <f>Table5[[#This Row],[Purchase Quantity]]-Table5[[#This Row],[Salse Quantity]]</f>
        <v>0</v>
      </c>
    </row>
    <row r="17" spans="6:9" x14ac:dyDescent="0.35">
      <c r="F17" s="14"/>
      <c r="G17" s="14">
        <f>SUMIF(Table3[[#All],[Item Name]],Table5[[#This Row],[Item Name]],Table3[[#All],[Quantity]])</f>
        <v>0</v>
      </c>
      <c r="H17" s="14">
        <f>SUMIF(Table4[[#All],[Item Name]],Table5[[#This Row],[Item Name]],Table4[[#All],[Quantity]])</f>
        <v>0</v>
      </c>
      <c r="I17" s="14">
        <f>Table5[[#This Row],[Purchase Quantity]]-Table5[[#This Row],[Salse Quantity]]</f>
        <v>0</v>
      </c>
    </row>
    <row r="18" spans="6:9" x14ac:dyDescent="0.35">
      <c r="F18" s="14"/>
      <c r="G18" s="14">
        <f>SUMIF(Table3[[#All],[Item Name]],Table5[[#This Row],[Item Name]],Table3[[#All],[Quantity]])</f>
        <v>0</v>
      </c>
      <c r="H18" s="14">
        <f>SUMIF(Table4[[#All],[Item Name]],Table5[[#This Row],[Item Name]],Table4[[#All],[Quantity]])</f>
        <v>0</v>
      </c>
      <c r="I18" s="14">
        <f>Table5[[#This Row],[Purchase Quantity]]-Table5[[#This Row],[Salse Quantity]]</f>
        <v>0</v>
      </c>
    </row>
  </sheetData>
  <mergeCells count="1">
    <mergeCell ref="F1:I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Salse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 Mamun</dc:creator>
  <cp:lastModifiedBy>Abdullah Al Mamun</cp:lastModifiedBy>
  <dcterms:created xsi:type="dcterms:W3CDTF">2025-08-27T08:20:10Z</dcterms:created>
  <dcterms:modified xsi:type="dcterms:W3CDTF">2025-08-27T10:11:30Z</dcterms:modified>
</cp:coreProperties>
</file>